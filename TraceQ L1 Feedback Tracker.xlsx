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Job Log" sheetId="2" state="visible" r:id="rId4"/>
    <sheet name="QS Feedback" sheetId="3" state="visible" r:id="rId5"/>
    <sheet name="Engine Improvement 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<sst xmlns="http://schemas.openxmlformats.org/spreadsheetml/2006/main" count="93" uniqueCount="79">
  <si>
    <t xml:space="preserve">TraceQ - Operations Dashboard</t>
  </si>
  <si>
    <t xml:space="preserve">Total Jobs Completed</t>
  </si>
  <si>
    <t xml:space="preserve">Avg SLA Compliance</t>
  </si>
  <si>
    <t xml:space="preserve">Total Revenue (AED)</t>
  </si>
  <si>
    <t xml:space="preserve">Total Items Reviewed</t>
  </si>
  <si>
    <t xml:space="preserve">Total Discrepancies Found</t>
  </si>
  <si>
    <t xml:space="preserve">QS Agreement Rate</t>
  </si>
  <si>
    <t xml:space="preserve">False Positives Flagged</t>
  </si>
  <si>
    <t xml:space="preserve">Engine Fixes Deployed</t>
  </si>
  <si>
    <t xml:space="preserve">Loop 2 Trigger Rules</t>
  </si>
  <si>
    <t xml:space="preserve">1. Same QS disagreement across 3+ jobs = engine fix ticket (mandatory)</t>
  </si>
  <si>
    <t xml:space="preserve">2. New equipment type engine cannot detect = fix ticket (mandatory)</t>
  </si>
  <si>
    <t xml:space="preserve">3. False positive on 2+ jobs = fix ticket (mandatory)</t>
  </si>
  <si>
    <t xml:space="preserve">4. Single-job QS disagreement = log only, do not fix unless pattern emerges</t>
  </si>
  <si>
    <t xml:space="preserve">5. Loop 2 changes never re-run old jobs. They improve the NEXT job only.</t>
  </si>
  <si>
    <t xml:space="preserve">6. No engine changes while a Loop 1 client deliverable is in flight.</t>
  </si>
  <si>
    <t xml:space="preserve">TraceQ - Job Log</t>
  </si>
  <si>
    <t xml:space="preserve">One row per client job. Master record for delivery tracking, billing, and audit trail.</t>
  </si>
  <si>
    <t xml:space="preserve">Job ID</t>
  </si>
  <si>
    <t xml:space="preserve">Client</t>
  </si>
  <si>
    <t xml:space="preserve">Project Name</t>
  </si>
  <si>
    <t xml:space="preserve">Date Received</t>
  </si>
  <si>
    <t xml:space="preserve">Engine Version</t>
  </si>
  <si>
    <t xml:space="preserve">QS Validator</t>
  </si>
  <si>
    <t xml:space="preserve">Date Delivered</t>
  </si>
  <si>
    <t xml:space="preserve">SLA Met?
(Y/N)</t>
  </si>
  <si>
    <t xml:space="preserve">Total Items
Reviewed</t>
  </si>
  <si>
    <t xml:space="preserve">Discrepancies
Found</t>
  </si>
  <si>
    <t xml:space="preserve">Est. Exposure
(AED)</t>
  </si>
  <si>
    <t xml:space="preserve">Invoice
Status</t>
  </si>
  <si>
    <t xml:space="preserve">TQ-001</t>
  </si>
  <si>
    <t xml:space="preserve">Six Sigma</t>
  </si>
  <si>
    <t xml:space="preserve">Villa Project - HVAC</t>
  </si>
  <si>
    <t xml:space="preserve">2026-05-15</t>
  </si>
  <si>
    <t xml:space="preserve">v1.4</t>
  </si>
  <si>
    <t xml:space="preserve">Dimantha M.</t>
  </si>
  <si>
    <t xml:space="preserve">2026-05-17</t>
  </si>
  <si>
    <t xml:space="preserve">Y</t>
  </si>
  <si>
    <t xml:space="preserve">Pending</t>
  </si>
  <si>
    <t xml:space="preserve">TraceQ - QS Validator Feedback</t>
  </si>
  <si>
    <t xml:space="preserve">One row per BOQ line item per job. QS fills columns G-N after reviewing engine output. Feeds both client audit trail and engine improvement (Loop 2).</t>
  </si>
  <si>
    <t xml:space="preserve">Item No.</t>
  </si>
  <si>
    <t xml:space="preserve">Equipment Type</t>
  </si>
  <si>
    <t xml:space="preserve">Engine Count</t>
  </si>
  <si>
    <t xml:space="preserve">BOQ Count</t>
  </si>
  <si>
    <t xml:space="preserve">Engine Status</t>
  </si>
  <si>
    <t xml:space="preserve">QS Agrees?
(Y/N/Partial)</t>
  </si>
  <si>
    <t xml:space="preserve">QS Count
(if different)</t>
  </si>
  <si>
    <t xml:space="preserve">QS Reasoning</t>
  </si>
  <si>
    <t xml:space="preserve">Is This a
False Positive?</t>
  </si>
  <si>
    <t xml:space="preserve">Client-Facing
Note</t>
  </si>
  <si>
    <t xml:space="preserve">Severity
(H/M/L)</t>
  </si>
  <si>
    <t xml:space="preserve">Engine Bug?
(Y/N)</t>
  </si>
  <si>
    <t xml:space="preserve">Loop 2 Note
(for engine fix)</t>
  </si>
  <si>
    <t xml:space="preserve">FCU</t>
  </si>
  <si>
    <t xml:space="preserve">DISCREPANCY</t>
  </si>
  <si>
    <t xml:space="preserve">Confirmed 170 across all floors. BOQ missed 14 on roof level.</t>
  </si>
  <si>
    <t xml:space="preserve">N</t>
  </si>
  <si>
    <t xml:space="preserve">Drawings show 14 more FCUs than BOQ. Potential undercount.</t>
  </si>
  <si>
    <t xml:space="preserve">H</t>
  </si>
  <si>
    <t xml:space="preserve">VCD</t>
  </si>
  <si>
    <t xml:space="preserve">MATCH</t>
  </si>
  <si>
    <t xml:space="preserve">Exact match confirmed.</t>
  </si>
  <si>
    <t xml:space="preserve">L</t>
  </si>
  <si>
    <t xml:space="preserve">Extract Diffuser</t>
  </si>
  <si>
    <t xml:space="preserve">MISSING FROM BOQ</t>
  </si>
  <si>
    <t xml:space="preserve">Confirmed on all 4 floor layouts. Major omission.</t>
  </si>
  <si>
    <t xml:space="preserve">544 extract diffusers in drawings, zero in BOQ. AED 108,800 exposure.</t>
  </si>
  <si>
    <t xml:space="preserve">TraceQ - Engine Improvement Log (Loop 2)</t>
  </si>
  <si>
    <t xml:space="preserve">Tracks engine fixes triggered by QS feedback. Rule: same issue across 3+ jobs = fix ticket. Never re-runs old jobs.</t>
  </si>
  <si>
    <t xml:space="preserve">Fix ID</t>
  </si>
  <si>
    <t xml:space="preserve">Date Logged</t>
  </si>
  <si>
    <t xml:space="preserve">Issue Description</t>
  </si>
  <si>
    <t xml:space="preserve">Jobs Affected
(count)</t>
  </si>
  <si>
    <t xml:space="preserve">Source Job IDs</t>
  </si>
  <si>
    <t xml:space="preserve">Fix Status</t>
  </si>
  <si>
    <t xml:space="preserve">Engine Version
(fixed in)</t>
  </si>
  <si>
    <t xml:space="preserve">Date Fixed</t>
  </si>
  <si>
    <t xml:space="preserve">Harness
Regression?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</si>
</sst>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002060"/>
      <name val="Cambria"/>
      <family val="0"/>
      <charset val="1"/>
    </font>
    <font>
      <b val="true"/>
      <sz val="12"/>
      <color rgb="FF002060"/>
      <name val="Cambria"/>
      <family val="0"/>
      <charset val="1"/>
    </font>
    <font>
      <sz val="10"/>
      <name val="Cambria"/>
      <family val="0"/>
      <charset val="1"/>
    </font>
    <font>
      <i val="true"/>
      <sz val="9"/>
      <color rgb="FF555555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i val="true"/>
      <sz val="10"/>
      <color rgb="FF888888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D6E4F0"/>
        <bgColor rgb="FFD0D0D0"/>
      </patternFill>
    </fill>
    <fill>
      <patternFill patternType="solid">
        <fgColor rgb="FF4472C4"/>
        <bgColor rgb="FF0066CC"/>
      </patternFill>
    </fill>
    <fill>
      <patternFill patternType="solid">
        <fgColor rgb="FFF8F9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8F9FA"/>
      <rgbColor rgb="FFD6E4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55555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7.35" hidden="false" customHeight="false" outlineLevel="0" collapsed="false">
      <c r="A3" s="2" t="s">
        <v>1</v>
      </c>
      <c r="B3" s="3" t="n">
        <f aca="false">COUNTA('Job Log'!A5:A24)-COUNTBLANK('Job Log'!G5:G24)</f>
        <v>-18</v>
      </c>
    </row>
    <row r="4" customFormat="false" ht="17.35" hidden="false" customHeight="false" outlineLevel="0" collapsed="false">
      <c r="A4" s="2" t="s">
        <v>2</v>
      </c>
      <c r="B4" s="4" t="n">
        <f aca="false">COUNTIF('Job Log'!H5:H24,"Y")/COUNTA('Job Log'!H5:H24)</f>
        <v>1</v>
      </c>
    </row>
    <row r="5" customFormat="false" ht="17.35" hidden="false" customHeight="false" outlineLevel="0" collapsed="false">
      <c r="A5" s="2" t="s">
        <v>3</v>
      </c>
      <c r="B5" s="5" t="n">
        <f aca="false">SUMPRODUCT(('Job Log'!L5:L24="Paid")*'Job Log'!K5:K24)</f>
        <v>0</v>
      </c>
    </row>
    <row r="6" customFormat="false" ht="17.35" hidden="false" customHeight="false" outlineLevel="0" collapsed="false">
      <c r="A6" s="2" t="s">
        <v>4</v>
      </c>
      <c r="B6" s="3" t="n">
        <f aca="false">SUM('Job Log'!I5:I24)</f>
        <v>11</v>
      </c>
    </row>
    <row r="7" customFormat="false" ht="17.35" hidden="false" customHeight="false" outlineLevel="0" collapsed="false">
      <c r="A7" s="2" t="s">
        <v>5</v>
      </c>
      <c r="B7" s="3" t="n">
        <f aca="false">SUM('Job Log'!J5:J24)</f>
        <v>8</v>
      </c>
    </row>
    <row r="8" customFormat="false" ht="17.35" hidden="false" customHeight="false" outlineLevel="0" collapsed="false">
      <c r="A8" s="2" t="s">
        <v>6</v>
      </c>
      <c r="B8" s="4" t="n">
        <f aca="false">COUNTIF('QS Feedback'!G5:G34,"Y")/COUNTA('QS Feedback'!G5:G34)</f>
        <v>1</v>
      </c>
    </row>
    <row r="9" customFormat="false" ht="17.35" hidden="false" customHeight="false" outlineLevel="0" collapsed="false">
      <c r="A9" s="2" t="s">
        <v>7</v>
      </c>
      <c r="B9" s="3" t="n">
        <f aca="false">COUNTIF('QS Feedback'!J5:J34,"Y")</f>
        <v>0</v>
      </c>
    </row>
    <row r="10" customFormat="false" ht="17.35" hidden="false" customHeight="false" outlineLevel="0" collapsed="false">
      <c r="A10" s="2" t="s">
        <v>8</v>
      </c>
      <c r="B10" s="3" t="n">
        <f aca="false">COUNTIF('Engine Improvement Log'!G5:G24,"Fixed")</f>
        <v>0</v>
      </c>
    </row>
    <row r="12" customFormat="false" ht="15" hidden="false" customHeight="false" outlineLevel="0" collapsed="false">
      <c r="A12" s="6" t="s">
        <v>9</v>
      </c>
      <c r="B12" s="6"/>
      <c r="C12" s="6"/>
      <c r="D12" s="6"/>
      <c r="E12" s="6"/>
      <c r="F12" s="6"/>
    </row>
    <row r="13" customFormat="false" ht="15" hidden="false" customHeight="false" outlineLevel="0" collapsed="false">
      <c r="A13" s="7" t="s">
        <v>10</v>
      </c>
      <c r="B13" s="7"/>
      <c r="C13" s="7"/>
      <c r="D13" s="7"/>
      <c r="E13" s="7"/>
      <c r="F13" s="7"/>
    </row>
    <row r="14" customFormat="false" ht="15" hidden="false" customHeight="false" outlineLevel="0" collapsed="false">
      <c r="A14" s="7" t="s">
        <v>11</v>
      </c>
      <c r="B14" s="7"/>
      <c r="C14" s="7"/>
      <c r="D14" s="7"/>
      <c r="E14" s="7"/>
      <c r="F14" s="7"/>
    </row>
    <row r="15" customFormat="false" ht="15" hidden="false" customHeight="false" outlineLevel="0" collapsed="false">
      <c r="A15" s="7" t="s">
        <v>12</v>
      </c>
      <c r="B15" s="7"/>
      <c r="C15" s="7"/>
      <c r="D15" s="7"/>
      <c r="E15" s="7"/>
      <c r="F15" s="7"/>
    </row>
    <row r="16" customFormat="false" ht="15" hidden="false" customHeight="false" outlineLevel="0" collapsed="false">
      <c r="A16" s="7" t="s">
        <v>13</v>
      </c>
      <c r="B16" s="7"/>
      <c r="C16" s="7"/>
      <c r="D16" s="7"/>
      <c r="E16" s="7"/>
      <c r="F16" s="7"/>
    </row>
    <row r="17" customFormat="false" ht="15" hidden="false" customHeight="false" outlineLevel="0" collapsed="false">
      <c r="A17" s="7" t="s">
        <v>14</v>
      </c>
      <c r="B17" s="7"/>
      <c r="C17" s="7"/>
      <c r="D17" s="7"/>
      <c r="E17" s="7"/>
      <c r="F17" s="7"/>
    </row>
    <row r="18" customFormat="false" ht="15" hidden="false" customHeight="false" outlineLevel="0" collapsed="false">
      <c r="A18" s="7" t="s">
        <v>15</v>
      </c>
      <c r="B18" s="7"/>
      <c r="C18" s="7"/>
      <c r="D18" s="7"/>
      <c r="E18" s="7"/>
      <c r="F18" s="7"/>
    </row>
  </sheetData>
  <mergeCells count="8">
    <mergeCell ref="A1:F1"/>
    <mergeCell ref="A12:F12"/>
    <mergeCell ref="A13:F13"/>
    <mergeCell ref="A14:F14"/>
    <mergeCell ref="A15:F15"/>
    <mergeCell ref="A16:F16"/>
    <mergeCell ref="A17:F17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5"/>
    <col collapsed="false" customWidth="true" hidden="false" outlineLevel="0" max="5" min="4" style="0" width="1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16"/>
    <col collapsed="false" customWidth="true" hidden="false" outlineLevel="0" max="12" min="12" style="0" width="12"/>
  </cols>
  <sheetData>
    <row r="1" customFormat="false" ht="34.5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8" t="s">
        <v>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4" customFormat="false" ht="35.05" hidden="false" customHeight="false" outlineLevel="0" collapsed="false">
      <c r="A4" s="9" t="s">
        <v>18</v>
      </c>
      <c r="B4" s="9" t="s">
        <v>19</v>
      </c>
      <c r="C4" s="9" t="s">
        <v>20</v>
      </c>
      <c r="D4" s="9" t="s">
        <v>21</v>
      </c>
      <c r="E4" s="9" t="s">
        <v>22</v>
      </c>
      <c r="F4" s="9" t="s">
        <v>23</v>
      </c>
      <c r="G4" s="9" t="s">
        <v>24</v>
      </c>
      <c r="H4" s="9" t="s">
        <v>25</v>
      </c>
      <c r="I4" s="9" t="s">
        <v>26</v>
      </c>
      <c r="J4" s="9" t="s">
        <v>27</v>
      </c>
      <c r="K4" s="9" t="s">
        <v>28</v>
      </c>
      <c r="L4" s="9" t="s">
        <v>29</v>
      </c>
    </row>
    <row r="5" customFormat="false" ht="15" hidden="false" customHeight="false" outlineLevel="0" collapsed="false">
      <c r="A5" s="10" t="s">
        <v>30</v>
      </c>
      <c r="B5" s="10" t="s">
        <v>31</v>
      </c>
      <c r="C5" s="10" t="s">
        <v>32</v>
      </c>
      <c r="D5" s="10" t="s">
        <v>33</v>
      </c>
      <c r="E5" s="10" t="s">
        <v>34</v>
      </c>
      <c r="F5" s="10" t="s">
        <v>35</v>
      </c>
      <c r="G5" s="10" t="s">
        <v>36</v>
      </c>
      <c r="H5" s="10" t="s">
        <v>37</v>
      </c>
      <c r="I5" s="10" t="n">
        <v>11</v>
      </c>
      <c r="J5" s="10" t="n">
        <v>8</v>
      </c>
      <c r="K5" s="11" t="n">
        <v>829645</v>
      </c>
      <c r="L5" s="10" t="s">
        <v>38</v>
      </c>
    </row>
    <row r="6" customFormat="false" ht="15" hidden="false" customHeight="false" outlineLevel="0" collapsed="false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</row>
  </sheetData>
  <mergeCells count="2">
    <mergeCell ref="A1:L1"/>
    <mergeCell ref="A2:L2"/>
  </mergeCells>
  <dataValidations count="2">
    <dataValidation allowBlank="true" error="Please enter Y or N" errorStyle="stop" operator="between" showDropDown="false" showErrorMessage="false" showInputMessage="false" sqref="H5:H24" type="list">
      <formula1>"Y,N"</formula1>
      <formula2>0</formula2>
    </dataValidation>
    <dataValidation allowBlank="true" errorStyle="stop" operator="between" showDropDown="false" showErrorMessage="false" showInputMessage="false" sqref="L5:L24" type="list">
      <formula1>"Pending,Sent,Paid,Overdue"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30"/>
    <col collapsed="false" customWidth="true" hidden="false" outlineLevel="0" max="10" min="10" style="0" width="12"/>
    <col collapsed="false" customWidth="true" hidden="false" outlineLevel="0" max="11" min="11" style="0" width="30"/>
    <col collapsed="false" customWidth="true" hidden="false" outlineLevel="0" max="13" min="12" style="0" width="10"/>
    <col collapsed="false" customWidth="true" hidden="false" outlineLevel="0" max="14" min="14" style="0" width="30"/>
  </cols>
  <sheetData>
    <row r="1" customFormat="false" ht="34.5" hidden="false" customHeight="true" outlineLevel="0" collapsed="false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8" t="s">
        <v>40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customFormat="false" ht="35.05" hidden="false" customHeight="false" outlineLevel="0" collapsed="false">
      <c r="A4" s="9" t="s">
        <v>18</v>
      </c>
      <c r="B4" s="9" t="s">
        <v>41</v>
      </c>
      <c r="C4" s="9" t="s">
        <v>42</v>
      </c>
      <c r="D4" s="9" t="s">
        <v>43</v>
      </c>
      <c r="E4" s="9" t="s">
        <v>44</v>
      </c>
      <c r="F4" s="9" t="s">
        <v>45</v>
      </c>
      <c r="G4" s="9" t="s">
        <v>46</v>
      </c>
      <c r="H4" s="9" t="s">
        <v>47</v>
      </c>
      <c r="I4" s="9" t="s">
        <v>48</v>
      </c>
      <c r="J4" s="9" t="s">
        <v>49</v>
      </c>
      <c r="K4" s="9" t="s">
        <v>50</v>
      </c>
      <c r="L4" s="9" t="s">
        <v>51</v>
      </c>
      <c r="M4" s="9" t="s">
        <v>52</v>
      </c>
      <c r="N4" s="9" t="s">
        <v>53</v>
      </c>
    </row>
    <row r="5" customFormat="false" ht="23.85" hidden="false" customHeight="false" outlineLevel="0" collapsed="false">
      <c r="A5" s="10" t="s">
        <v>30</v>
      </c>
      <c r="B5" s="10" t="n">
        <v>1</v>
      </c>
      <c r="C5" s="10" t="s">
        <v>54</v>
      </c>
      <c r="D5" s="10" t="n">
        <v>170</v>
      </c>
      <c r="E5" s="10" t="n">
        <v>156</v>
      </c>
      <c r="F5" s="10" t="s">
        <v>55</v>
      </c>
      <c r="G5" s="10" t="s">
        <v>37</v>
      </c>
      <c r="H5" s="10" t="n">
        <v>170</v>
      </c>
      <c r="I5" s="10" t="s">
        <v>56</v>
      </c>
      <c r="J5" s="10" t="s">
        <v>57</v>
      </c>
      <c r="K5" s="10" t="s">
        <v>58</v>
      </c>
      <c r="L5" s="10" t="s">
        <v>59</v>
      </c>
      <c r="M5" s="10" t="s">
        <v>57</v>
      </c>
      <c r="N5" s="10"/>
    </row>
    <row r="6" customFormat="false" ht="15" hidden="false" customHeight="false" outlineLevel="0" collapsed="false">
      <c r="A6" s="14" t="s">
        <v>30</v>
      </c>
      <c r="B6" s="14" t="n">
        <v>2</v>
      </c>
      <c r="C6" s="14" t="s">
        <v>60</v>
      </c>
      <c r="D6" s="14" t="n">
        <v>1040</v>
      </c>
      <c r="E6" s="14" t="n">
        <v>1040</v>
      </c>
      <c r="F6" s="14" t="s">
        <v>61</v>
      </c>
      <c r="G6" s="14" t="s">
        <v>37</v>
      </c>
      <c r="H6" s="14"/>
      <c r="I6" s="14" t="s">
        <v>62</v>
      </c>
      <c r="J6" s="14" t="s">
        <v>57</v>
      </c>
      <c r="K6" s="14"/>
      <c r="L6" s="14" t="s">
        <v>63</v>
      </c>
      <c r="M6" s="14" t="s">
        <v>57</v>
      </c>
      <c r="N6" s="14"/>
    </row>
    <row r="7" customFormat="false" ht="23.85" hidden="false" customHeight="false" outlineLevel="0" collapsed="false">
      <c r="A7" s="10" t="s">
        <v>30</v>
      </c>
      <c r="B7" s="10" t="n">
        <v>3</v>
      </c>
      <c r="C7" s="10" t="s">
        <v>64</v>
      </c>
      <c r="D7" s="10" t="n">
        <v>544</v>
      </c>
      <c r="E7" s="10" t="n">
        <v>0</v>
      </c>
      <c r="F7" s="10" t="s">
        <v>65</v>
      </c>
      <c r="G7" s="10" t="s">
        <v>37</v>
      </c>
      <c r="H7" s="10" t="n">
        <v>544</v>
      </c>
      <c r="I7" s="10" t="s">
        <v>66</v>
      </c>
      <c r="J7" s="10" t="s">
        <v>57</v>
      </c>
      <c r="K7" s="10" t="s">
        <v>67</v>
      </c>
      <c r="L7" s="10" t="s">
        <v>59</v>
      </c>
      <c r="M7" s="10" t="s">
        <v>57</v>
      </c>
      <c r="N7" s="10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</sheetData>
  <mergeCells count="2">
    <mergeCell ref="A1:N1"/>
    <mergeCell ref="A2:N2"/>
  </mergeCells>
  <dataValidations count="5">
    <dataValidation allowBlank="true" errorStyle="stop" operator="between" showDropDown="false" showErrorMessage="false" showInputMessage="false" sqref="G5:G34" type="list">
      <formula1>"Y,N,Partial"</formula1>
      <formula2>0</formula2>
    </dataValidation>
    <dataValidation allowBlank="true" errorStyle="stop" operator="between" showDropDown="false" showErrorMessage="false" showInputMessage="false" sqref="J5:J34" type="list">
      <formula1>"Y,N"</formula1>
      <formula2>0</formula2>
    </dataValidation>
    <dataValidation allowBlank="true" errorStyle="stop" operator="between" showDropDown="false" showErrorMessage="false" showInputMessage="false" sqref="L5:L34" type="list">
      <formula1>"H,M,L"</formula1>
      <formula2>0</formula2>
    </dataValidation>
    <dataValidation allowBlank="true" errorStyle="stop" operator="between" showDropDown="false" showErrorMessage="false" showInputMessage="false" sqref="M5:M34" type="list">
      <formula1>"Y,N"</formula1>
      <formula2>0</formula2>
    </dataValidation>
    <dataValidation allowBlank="true" errorStyle="stop" operator="between" showDropDown="false" showErrorMessage="false" showInputMessage="false" sqref="F5:F34" type="list">
      <formula1>"MATCH,DISCREPANCY,MISSING FROM BOQ,FALSE POSITIVE"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5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9" min="7" style="0" width="14"/>
    <col collapsed="false" customWidth="true" hidden="false" outlineLevel="0" max="10" min="10" style="0" width="12"/>
  </cols>
  <sheetData>
    <row r="1" customFormat="false" ht="34.5" hidden="false" customHeight="true" outlineLevel="0" collapsed="false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8" t="s">
        <v>69</v>
      </c>
      <c r="B2" s="8"/>
      <c r="C2" s="8"/>
      <c r="D2" s="8"/>
      <c r="E2" s="8"/>
      <c r="F2" s="8"/>
      <c r="G2" s="8"/>
      <c r="H2" s="8"/>
      <c r="I2" s="8"/>
      <c r="J2" s="8"/>
    </row>
    <row r="4" customFormat="false" ht="23.85" hidden="false" customHeight="false" outlineLevel="0" collapsed="false">
      <c r="A4" s="9" t="s">
        <v>70</v>
      </c>
      <c r="B4" s="9" t="s">
        <v>71</v>
      </c>
      <c r="C4" s="9" t="s">
        <v>42</v>
      </c>
      <c r="D4" s="9" t="s">
        <v>72</v>
      </c>
      <c r="E4" s="9" t="s">
        <v>73</v>
      </c>
      <c r="F4" s="9" t="s">
        <v>74</v>
      </c>
      <c r="G4" s="9" t="s">
        <v>75</v>
      </c>
      <c r="H4" s="9" t="s">
        <v>76</v>
      </c>
      <c r="I4" s="9" t="s">
        <v>77</v>
      </c>
      <c r="J4" s="9" t="s">
        <v>78</v>
      </c>
    </row>
    <row r="5" customFormat="false" ht="15" hidden="false" customHeight="false" outlineLevel="0" collapsed="false">
      <c r="A5" s="13"/>
      <c r="B5" s="13"/>
      <c r="C5" s="13"/>
      <c r="D5" s="13"/>
      <c r="E5" s="13"/>
      <c r="F5" s="13"/>
      <c r="G5" s="13"/>
      <c r="H5" s="13"/>
      <c r="I5" s="13"/>
      <c r="J5" s="13"/>
    </row>
    <row r="6" customFormat="false" ht="15" hidden="false" customHeight="false" outlineLevel="0" collapsed="false">
      <c r="A6" s="12"/>
      <c r="B6" s="12"/>
      <c r="C6" s="12"/>
      <c r="D6" s="12"/>
      <c r="E6" s="12"/>
      <c r="F6" s="12"/>
      <c r="G6" s="12"/>
      <c r="H6" s="12"/>
      <c r="I6" s="12"/>
      <c r="J6" s="12"/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3"/>
      <c r="H7" s="13"/>
      <c r="I7" s="13"/>
      <c r="J7" s="13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</row>
  </sheetData>
  <mergeCells count="2">
    <mergeCell ref="A1:J1"/>
    <mergeCell ref="A2:J2"/>
  </mergeCells>
  <dataValidations count="2">
    <dataValidation allowBlank="true" errorStyle="stop" operator="between" showDropDown="false" showErrorMessage="false" showInputMessage="false" sqref="G5:G24" type="list">
      <formula1>"Logged,Investigating,In Progress,Fixed,Wont Fix"</formula1>
      <formula2>0</formula2>
    </dataValidation>
    <dataValidation allowBlank="true" errorStyle="stop" operator="between" showDropDown="false" showErrorMessage="false" showInputMessage="false" sqref="J5:J24" type="list">
      <formula1>"Pass,Fail,Pending"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2026-04-25T05:09:06Z</dcterms:created>
  <dc:creator>openpyxl</dc:creator>
  <dc:description/>
  <dc:language>en-US</dc:language>
  <cp:lastModifiedBy/>
  <dcterms:modified xsi:type="dcterms:W3CDTF">2026-04-25T05:09:06Z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